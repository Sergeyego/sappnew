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<sst xmlns="http://schemas.openxmlformats.org/spreadsheetml/2006/main" count="25" uniqueCount="25">
  <si>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Расход компонентов и проволоки на 1,0 тонну электродов марки </t>
  </si>
  <si>
    <t xml:space="preserve">Исходные данные:</t>
  </si>
  <si>
    <t xml:space="preserve">Диаметр электрода</t>
  </si>
  <si>
    <t xml:space="preserve">D, мм</t>
  </si>
  <si>
    <t xml:space="preserve">Коэффициент массы покрытия</t>
  </si>
  <si>
    <t xml:space="preserve">k, %</t>
  </si>
  <si>
    <t xml:space="preserve">Длина электрода</t>
  </si>
  <si>
    <t xml:space="preserve">L, мм</t>
  </si>
  <si>
    <t xml:space="preserve">Длина зачистки под держак</t>
  </si>
  <si>
    <t xml:space="preserve">Lз, мм</t>
  </si>
  <si>
    <t xml:space="preserve">Фильера</t>
  </si>
  <si>
    <t xml:space="preserve">F, мм</t>
  </si>
  <si>
    <t xml:space="preserve">Расчет:</t>
  </si>
  <si>
    <t xml:space="preserve">Марка проволоки</t>
  </si>
  <si>
    <t xml:space="preserve">Расчетный расход проволоки, кг</t>
  </si>
  <si>
    <t xml:space="preserve">Потери при рубке, %</t>
  </si>
  <si>
    <t xml:space="preserve">Расход на 1,0 тонну электродов, кг</t>
  </si>
  <si>
    <t xml:space="preserve">Компоненты</t>
  </si>
  <si>
    <t xml:space="preserve">Рецептура*, %</t>
  </si>
  <si>
    <t xml:space="preserve">Расход компонентов с учетом 10% потерь на опрессовке, кг</t>
  </si>
  <si>
    <t xml:space="preserve">Потери при дроблении и просеве, %</t>
  </si>
  <si>
    <t xml:space="preserve">Расходы на 1,0 тонну электродов, кг</t>
  </si>
  <si>
    <t xml:space="preserve">*Рецептура, по которой работают технологи и дозировка</t>
  </si>
  <si>
    <t xml:space="preserve">Директор по качеству и технологиям производства</t>
  </si>
  <si>
    <t xml:space="preserve">Виноградова В.А.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</si>
</sst>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%"/>
    <numFmt numFmtId="168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78"/>
    <col collapsed="false" customWidth="true" hidden="false" outlineLevel="0" max="2" min="2" style="1" width="13.91"/>
    <col collapsed="false" customWidth="true" hidden="false" outlineLevel="0" max="3" min="3" style="1" width="13.75"/>
    <col collapsed="false" customWidth="true" hidden="false" outlineLevel="0" max="4" min="4" style="1" width="12.24"/>
    <col collapsed="false" customWidth="true" hidden="false" outlineLevel="0" max="5" min="5" style="1" width="14.06"/>
  </cols>
  <sheetData>
    <row r="2" customFormat="false" ht="12.8" hidden="false" customHeight="false" outlineLevel="0" collapsed="false">
      <c r="A2" s="2" t="s">
        <v>0</v>
      </c>
      <c r="B2" s="2"/>
      <c r="C2" s="2"/>
      <c r="D2" s="2"/>
      <c r="E2" s="2"/>
    </row>
    <row r="4" customFormat="false" ht="12.8" hidden="false" customHeight="false" outlineLevel="0" collapsed="false">
      <c r="A4" s="3" t="s">
        <v>1</v>
      </c>
      <c r="B4" s="3"/>
      <c r="C4" s="3"/>
    </row>
    <row r="6" customFormat="false" ht="12.8" hidden="false" customHeight="false" outlineLevel="0" collapsed="false">
      <c r="A6" s="4" t="s">
        <v>2</v>
      </c>
      <c r="B6" s="4" t="s">
        <v>3</v>
      </c>
      <c r="C6" s="5"/>
    </row>
    <row r="7" customFormat="false" ht="12.8" hidden="false" customHeight="false" outlineLevel="0" collapsed="false">
      <c r="A7" s="4" t="s">
        <v>4</v>
      </c>
      <c r="B7" s="4" t="s">
        <v>5</v>
      </c>
      <c r="C7" s="5"/>
    </row>
    <row r="8" customFormat="false" ht="12.8" hidden="false" customHeight="false" outlineLevel="0" collapsed="false">
      <c r="A8" s="4" t="s">
        <v>6</v>
      </c>
      <c r="B8" s="4" t="s">
        <v>7</v>
      </c>
      <c r="C8" s="5"/>
    </row>
    <row r="9" customFormat="false" ht="12.8" hidden="false" customHeight="false" outlineLevel="0" collapsed="false">
      <c r="A9" s="4" t="s">
        <v>8</v>
      </c>
      <c r="B9" s="4" t="s">
        <v>9</v>
      </c>
      <c r="C9" s="5" t="n">
        <v>20</v>
      </c>
    </row>
    <row r="10" customFormat="false" ht="12.8" hidden="false" customHeight="false" outlineLevel="0" collapsed="false">
      <c r="A10" s="4" t="s">
        <v>10</v>
      </c>
      <c r="B10" s="4" t="s">
        <v>11</v>
      </c>
      <c r="C10" s="5"/>
    </row>
    <row r="11" customFormat="false" ht="28.35" hidden="false" customHeight="true" outlineLevel="0" collapsed="false">
      <c r="A11" s="3" t="s">
        <v>12</v>
      </c>
      <c r="B11" s="3"/>
      <c r="C11" s="3"/>
      <c r="D11" s="3"/>
      <c r="E11" s="3"/>
    </row>
    <row r="12" customFormat="false" ht="44" hidden="false" customHeight="true" outlineLevel="0" collapsed="false">
      <c r="A12" s="6" t="s">
        <v>13</v>
      </c>
      <c r="B12" s="7"/>
      <c r="C12" s="8" t="s">
        <v>14</v>
      </c>
      <c r="D12" s="8" t="s">
        <v>15</v>
      </c>
      <c r="E12" s="8" t="s">
        <v>16</v>
      </c>
    </row>
    <row r="13" customFormat="false" ht="19.4" hidden="false" customHeight="true" outlineLevel="0" collapsed="false">
      <c r="A13" s="6"/>
      <c r="B13" s="7"/>
      <c r="C13" s="9" t="e">
        <f aca="false">1000/((C8-C9)*C7/(C8*100)+1)</f>
        <v>#DIV/0!</v>
      </c>
      <c r="D13" s="10" t="n">
        <v>0.015</v>
      </c>
      <c r="E13" s="9" t="e">
        <f aca="false">C13+C13*D13</f>
        <v>#DIV/0!</v>
      </c>
    </row>
    <row r="14" customFormat="false" ht="70.1" hidden="false" customHeight="true" outlineLevel="0" collapsed="false">
      <c r="A14" s="11" t="s">
        <v>17</v>
      </c>
      <c r="B14" s="11" t="s">
        <v>18</v>
      </c>
      <c r="C14" s="6" t="s">
        <v>19</v>
      </c>
      <c r="D14" s="6" t="s">
        <v>20</v>
      </c>
      <c r="E14" s="6" t="s">
        <v>21</v>
      </c>
    </row>
    <row r="15" customFormat="false" ht="12.8" hidden="false" customHeight="false" outlineLevel="0" collapsed="false">
      <c r="A15" s="4"/>
      <c r="B15" s="12"/>
      <c r="C15" s="12" t="e">
        <f aca="false">B15*$C$16/$B$16</f>
        <v>#DIV/0!</v>
      </c>
      <c r="D15" s="13"/>
      <c r="E15" s="12" t="e">
        <f aca="false">C15+C15*D15</f>
        <v>#DIV/0!</v>
      </c>
    </row>
    <row r="16" customFormat="false" ht="12.8" hidden="false" customHeight="false" outlineLevel="0" collapsed="false">
      <c r="A16" s="14"/>
      <c r="B16" s="12" t="n">
        <f aca="false">SUM(B15)</f>
        <v>0</v>
      </c>
      <c r="C16" s="12" t="e">
        <f aca="false">(1000-C13)*1.1</f>
        <v>#DIV/0!</v>
      </c>
      <c r="D16" s="4"/>
      <c r="E16" s="12" t="e">
        <f aca="false">SUM(E15)</f>
        <v>#DIV/0!</v>
      </c>
    </row>
    <row r="18" customFormat="false" ht="12.8" hidden="false" customHeight="false" outlineLevel="0" collapsed="false">
      <c r="A18" s="2" t="s">
        <v>22</v>
      </c>
      <c r="B18" s="2"/>
      <c r="C18" s="2"/>
      <c r="D18" s="2"/>
      <c r="E18" s="2"/>
    </row>
    <row r="20" customFormat="false" ht="12.8" hidden="false" customHeight="true" outlineLevel="0" collapsed="false">
      <c r="A20" s="15" t="s">
        <v>23</v>
      </c>
      <c r="B20" s="15"/>
      <c r="D20" s="2" t="s">
        <v>24</v>
      </c>
      <c r="E20" s="2"/>
    </row>
    <row r="21" customFormat="false" ht="12.8" hidden="false" customHeight="false" outlineLevel="0" collapsed="false">
      <c r="A21" s="15"/>
      <c r="B21" s="15"/>
      <c r="C21" s="16"/>
      <c r="D21" s="2"/>
      <c r="E21" s="2"/>
    </row>
    <row r="24" customFormat="false" ht="12.8" hidden="false" customHeight="false" outlineLevel="0" collapsed="false">
      <c r="D24" s="17" t="n">
        <v>46164</v>
      </c>
    </row>
  </sheetData>
  <mergeCells count="8">
    <mergeCell ref="A2:E2"/>
    <mergeCell ref="A4:C4"/>
    <mergeCell ref="A11:E11"/>
    <mergeCell ref="A12:A13"/>
    <mergeCell ref="B12:B13"/>
    <mergeCell ref="A18:E18"/>
    <mergeCell ref="A20:B21"/>
    <mergeCell ref="D20:E2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2026-08-13T14:07:02Z</dcterms:created>
  <dc:creator/>
  <dc:description/>
  <dc:language>ru-RU</dc:language>
  <cp:lastModifiedBy/>
  <cp:lastPrinted>2026-08-13T15:50:27Z</cp:lastPrinted>
  <dcterms:modified xsi:type="dcterms:W3CDTF">2026-08-18T11:30:52Z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